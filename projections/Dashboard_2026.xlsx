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3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nsal" sheetId="2" state="visible" r:id="rId2"/>
    <sheet name="Categorias" sheetId="3" state="visible" r:id="rId3"/>
    <sheet name="Parcelamentos" sheetId="4" state="visible" r:id="rId4"/>
    <sheet name="Fluxo Anual" sheetId="5" state="visible" r:id="rId5"/>
    <sheet name="Previsões ML" sheetId="6" state="visible" r:id="rId6"/>
    <sheet name="Dad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"/>
    <numFmt numFmtId="165" formatCode="+0%;-0%"/>
  </numFmts>
  <fonts count="9">
    <font>
      <name val="Calibri"/>
      <family val="2"/>
      <color theme="1"/>
      <sz val="11"/>
      <scheme val="minor"/>
    </font>
    <font>
      <b val="1"/>
      <sz val="18"/>
    </font>
    <font>
      <i val="1"/>
      <sz val="10"/>
    </font>
    <font>
      <b val="1"/>
      <sz val="14"/>
    </font>
    <font>
      <b val="1"/>
      <color rgb="00FFFFFF"/>
      <sz val="11"/>
    </font>
    <font>
      <b val="1"/>
    </font>
    <font>
      <b val="1"/>
      <sz val="16"/>
    </font>
    <font>
      <i val="1"/>
      <color rgb="00666666"/>
      <sz val="10"/>
    </font>
    <font>
      <i val="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E0E0E0"/>
        <bgColor rgb="00E0E0E0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5" fillId="0" borderId="1" pivotButton="0" quotePrefix="0" xfId="0"/>
    <xf numFmtId="164" fontId="5" fillId="0" borderId="1" pivotButton="0" quotePrefix="0" xfId="0"/>
    <xf numFmtId="0" fontId="5" fillId="3" borderId="1" applyAlignment="1" pivotButton="0" quotePrefix="0" xfId="0">
      <alignment horizontal="center"/>
    </xf>
    <xf numFmtId="0" fontId="4" fillId="2" borderId="1" pivotButton="0" quotePrefix="0" xfId="0"/>
    <xf numFmtId="9" fontId="0" fillId="0" borderId="1" applyAlignment="1" pivotButton="0" quotePrefix="0" xfId="0">
      <alignment horizontal="center"/>
    </xf>
    <xf numFmtId="0" fontId="6" fillId="0" borderId="0" pivotButton="0" quotePrefix="0" xfId="0"/>
    <xf numFmtId="0" fontId="7" fillId="0" borderId="0" pivotButton="0" quotePrefix="0" xfId="0"/>
    <xf numFmtId="0" fontId="8" fillId="0" borderId="1" pivotButton="0" quotePrefix="0" xfId="0"/>
    <xf numFmtId="9" fontId="8" fillId="0" borderId="1" pivotButton="0" quotePrefix="0" xfId="0"/>
    <xf numFmtId="9" fontId="0" fillId="0" borderId="1" pivotButton="0" quotePrefix="0" xfId="0"/>
    <xf numFmtId="9" fontId="5" fillId="0" borderId="1" pivotButton="0" quotePrefix="0" xfId="0"/>
    <xf numFmtId="0" fontId="4" fillId="2" borderId="1" applyAlignment="1" pivotButton="0" quotePrefix="0" xfId="0">
      <alignment horizontal="center" wrapText="1"/>
    </xf>
    <xf numFmtId="164" fontId="0" fillId="5" borderId="1" pivotButton="0" quotePrefix="0" xfId="0"/>
    <xf numFmtId="164" fontId="0" fillId="6" borderId="1" pivotButton="0" quotePrefix="0" xfId="0"/>
    <xf numFmtId="165" fontId="0" fillId="0" borderId="1" pivotButton="0" quotePrefix="0" xfId="0"/>
    <xf numFmtId="164" fontId="0" fillId="0" borderId="0" pivotButton="0" quotePrefix="0" xfId="0"/>
    <xf numFmtId="164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Budget vs Real por Categoria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'Dashboard'!B13</f>
            </strRef>
          </tx>
          <spPr>
            <a:ln>
              <a:prstDash val="solid"/>
            </a:ln>
          </spPr>
          <cat>
            <numRef>
              <f>'Dashboard'!$A$14:$A$22</f>
            </numRef>
          </cat>
          <val>
            <numRef>
              <f>'Dashboard'!$B$14:$B$22</f>
            </numRef>
          </val>
        </ser>
        <ser>
          <idx val="1"/>
          <order val="1"/>
          <tx>
            <strRef>
              <f>'Dashboard'!C13</f>
            </strRef>
          </tx>
          <spPr>
            <a:ln>
              <a:prstDash val="solid"/>
            </a:ln>
          </spPr>
          <cat>
            <numRef>
              <f>'Dashboard'!$A$14:$A$22</f>
            </numRef>
          </cat>
          <val>
            <numRef>
              <f>'Dashboard'!$C$14:$C$22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Categoria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Gastos Mensais: Projetado vs Real</a:t>
            </a:r>
          </a:p>
        </rich>
      </tx>
    </title>
    <plotArea>
      <lineChart>
        <grouping val="standard"/>
        <ser>
          <idx val="0"/>
          <order val="0"/>
          <tx>
            <strRef>
              <f>'Dashboard'!B26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'Dashboard'!$A$27:$A$32</f>
            </numRef>
          </cat>
          <val>
            <numRef>
              <f>'Dashboard'!$B$27:$B$32</f>
            </numRef>
          </val>
        </ser>
        <ser>
          <idx val="1"/>
          <order val="1"/>
          <tx>
            <strRef>
              <f>'Dashboard'!C26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'Dashboard'!$A$27:$A$32</f>
            </numRef>
          </cat>
          <val>
            <numRef>
              <f>'Dashboard'!$C$27:$C$32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Distribuição de Gastos - Janeiro 2026</a:t>
            </a:r>
          </a:p>
        </rich>
      </tx>
    </title>
    <plotArea>
      <pieChart>
        <varyColors val="1"/>
        <ser>
          <idx val="0"/>
          <order val="0"/>
          <tx>
            <strRef>
              <f>'Categorias'!C4</f>
            </strRef>
          </tx>
          <spPr>
            <a:ln>
              <a:prstDash val="solid"/>
            </a:ln>
          </spPr>
          <cat>
            <numRef>
              <f>'Categorias'!$A$5:$A$13</f>
            </numRef>
          </cat>
          <val>
            <numRef>
              <f>'Categorias'!$C$5:$C$13</f>
            </numRef>
          </val>
        </ser>
        <dLbls>
          <showVal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Poupança: Projetado vs Real</a:t>
            </a:r>
          </a:p>
        </rich>
      </tx>
    </title>
    <plotArea>
      <lineChart>
        <grouping val="standard"/>
        <ser>
          <idx val="0"/>
          <order val="0"/>
          <tx>
            <strRef>
              <f>'Fluxo Anual'!K4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Anual'!$A$5:$A$16</f>
            </numRef>
          </cat>
          <val>
            <numRef>
              <f>'Fluxo Anual'!$K$5:$K$16</f>
            </numRef>
          </val>
        </ser>
        <ser>
          <idx val="1"/>
          <order val="1"/>
          <tx>
            <strRef>
              <f>'Fluxo Anual'!L4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'Fluxo Anual'!$A$5:$A$16</f>
            </numRef>
          </cat>
          <val>
            <numRef>
              <f>'Fluxo Anual'!$L$5:$L$16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5</col>
      <colOff>0</colOff>
      <row>17</row>
      <rowOff>0</rowOff>
    </from>
    <ext cx="648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13</col>
      <colOff>0</colOff>
      <row>3</row>
      <rowOff>0</rowOff>
    </from>
    <ext cx="504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2" customWidth="1" min="4" max="4"/>
    <col width="10" customWidth="1" min="5" max="5"/>
    <col width="5" customWidth="1" min="6" max="6"/>
    <col width="20" customWidth="1" min="7" max="7"/>
    <col width="15" customWidth="1" min="8" max="8"/>
  </cols>
  <sheetData>
    <row r="1">
      <c r="A1" s="1" t="inlineStr">
        <is>
          <t>JANEIRO 2026 - DASHBOARD</t>
        </is>
      </c>
    </row>
    <row r="2">
      <c r="A2" s="2" t="inlineStr">
        <is>
          <t>Atualizado: 31/12/2025 11:09</t>
        </is>
      </c>
    </row>
    <row r="4">
      <c r="A4" s="3" t="inlineStr">
        <is>
          <t>RESUMO DO MÊS</t>
        </is>
      </c>
    </row>
    <row r="5">
      <c r="A5" s="4" t="inlineStr">
        <is>
          <t>Métrica</t>
        </is>
      </c>
      <c r="B5" s="4" t="inlineStr">
        <is>
          <t>Projetado</t>
        </is>
      </c>
      <c r="C5" s="4" t="inlineStr">
        <is>
          <t>Real</t>
        </is>
      </c>
      <c r="D5" s="4" t="inlineStr">
        <is>
          <t>Variação</t>
        </is>
      </c>
      <c r="E5" s="4" t="inlineStr">
        <is>
          <t>Status</t>
        </is>
      </c>
    </row>
    <row r="6">
      <c r="A6" s="5" t="inlineStr">
        <is>
          <t>Receita</t>
        </is>
      </c>
      <c r="B6" s="6" t="n">
        <v>55000</v>
      </c>
      <c r="C6" s="6" t="n">
        <v>55000</v>
      </c>
      <c r="D6" s="5" t="inlineStr">
        <is>
          <t>0%</t>
        </is>
      </c>
      <c r="E6" s="7" t="inlineStr">
        <is>
          <t>✅</t>
        </is>
      </c>
    </row>
    <row r="7">
      <c r="A7" s="5" t="inlineStr">
        <is>
          <t>Gastos Variáveis</t>
        </is>
      </c>
      <c r="B7" s="6" t="n">
        <v>17800</v>
      </c>
      <c r="C7" s="6" t="n">
        <v>9265.58</v>
      </c>
      <c r="D7" s="5" t="inlineStr">
        <is>
          <t>-47%</t>
        </is>
      </c>
      <c r="E7" s="7" t="inlineStr">
        <is>
          <t>✅</t>
        </is>
      </c>
    </row>
    <row r="8">
      <c r="A8" s="5" t="inlineStr">
        <is>
          <t>Parcelamentos</t>
        </is>
      </c>
      <c r="B8" s="6" t="n">
        <v>17865</v>
      </c>
      <c r="C8" s="6" t="n">
        <v>9500</v>
      </c>
      <c r="D8" s="5" t="inlineStr">
        <is>
          <t>-46%</t>
        </is>
      </c>
      <c r="E8" s="7" t="inlineStr">
        <is>
          <t>✅</t>
        </is>
      </c>
    </row>
    <row r="9">
      <c r="A9" s="5" t="inlineStr">
        <is>
          <t>Obra</t>
        </is>
      </c>
      <c r="B9" s="6" t="n">
        <v>9590</v>
      </c>
      <c r="C9" s="6" t="n">
        <v>36234.42</v>
      </c>
      <c r="D9" s="5" t="inlineStr">
        <is>
          <t>-100%</t>
        </is>
      </c>
      <c r="E9" s="8" t="inlineStr">
        <is>
          <t>🟡</t>
        </is>
      </c>
    </row>
    <row r="10">
      <c r="A10" s="9" t="inlineStr">
        <is>
          <t>SAÍDA TOTAL</t>
        </is>
      </c>
      <c r="B10" s="10" t="n">
        <v>43955</v>
      </c>
      <c r="C10" s="10" t="n">
        <v>9500</v>
      </c>
      <c r="D10" s="9" t="inlineStr">
        <is>
          <t>-78%</t>
        </is>
      </c>
      <c r="E10" s="11" t="inlineStr">
        <is>
          <t>✅</t>
        </is>
      </c>
    </row>
    <row r="11">
      <c r="A11" s="9" t="inlineStr">
        <is>
          <t>POUPANÇA</t>
        </is>
      </c>
      <c r="B11" s="10" t="n">
        <v>11045</v>
      </c>
      <c r="C11" s="10" t="n">
        <v>45500</v>
      </c>
      <c r="D11" s="9" t="inlineStr">
        <is>
          <t>+311%</t>
        </is>
      </c>
      <c r="E11" s="11" t="inlineStr">
        <is>
          <t>✅</t>
        </is>
      </c>
    </row>
    <row r="12">
      <c r="A12" s="3" t="inlineStr">
        <is>
          <t>GASTOS POR CATEGORIA</t>
        </is>
      </c>
    </row>
    <row r="13">
      <c r="A13" s="12" t="inlineStr">
        <is>
          <t>Categoria</t>
        </is>
      </c>
      <c r="B13" s="12" t="inlineStr">
        <is>
          <t>Budget</t>
        </is>
      </c>
      <c r="C13" s="12" t="inlineStr">
        <is>
          <t>Real</t>
        </is>
      </c>
      <c r="D13" s="12" t="inlineStr">
        <is>
          <t>%</t>
        </is>
      </c>
    </row>
    <row r="14">
      <c r="A14" s="5" t="inlineStr">
        <is>
          <t>Alimentacao</t>
        </is>
      </c>
      <c r="B14" s="6" t="n">
        <v>3500</v>
      </c>
      <c r="C14" s="6" t="n">
        <v>0</v>
      </c>
      <c r="D14" s="13" t="n">
        <v>0</v>
      </c>
    </row>
    <row r="15">
      <c r="A15" s="5" t="inlineStr">
        <is>
          <t>Transporte</t>
        </is>
      </c>
      <c r="B15" s="6" t="n">
        <v>2500</v>
      </c>
      <c r="C15" s="6" t="n">
        <v>2110.74</v>
      </c>
      <c r="D15" s="13" t="n">
        <v>84</v>
      </c>
    </row>
    <row r="16">
      <c r="A16" s="5" t="inlineStr">
        <is>
          <t>Saude</t>
        </is>
      </c>
      <c r="B16" s="6" t="n">
        <v>500</v>
      </c>
      <c r="C16" s="6" t="n">
        <v>1730.24</v>
      </c>
      <c r="D16" s="13" t="n">
        <v>346</v>
      </c>
    </row>
    <row r="17">
      <c r="A17" s="5" t="inlineStr">
        <is>
          <t>Assinaturas</t>
        </is>
      </c>
      <c r="B17" s="6" t="n">
        <v>4000</v>
      </c>
      <c r="C17" s="6" t="n">
        <v>0</v>
      </c>
      <c r="D17" s="13" t="n">
        <v>0</v>
      </c>
    </row>
    <row r="18">
      <c r="A18" s="5" t="inlineStr">
        <is>
          <t>Compras</t>
        </is>
      </c>
      <c r="B18" s="6" t="n">
        <v>2000</v>
      </c>
      <c r="C18" s="6" t="n">
        <v>4669.66</v>
      </c>
      <c r="D18" s="13" t="n">
        <v>233</v>
      </c>
    </row>
    <row r="19">
      <c r="A19" s="5" t="inlineStr">
        <is>
          <t>Lazer</t>
        </is>
      </c>
      <c r="B19" s="6" t="n">
        <v>3500</v>
      </c>
      <c r="C19" s="6" t="n">
        <v>754.9400000000001</v>
      </c>
      <c r="D19" s="13" t="n">
        <v>21</v>
      </c>
    </row>
    <row r="20">
      <c r="A20" s="5" t="inlineStr">
        <is>
          <t>Educacao</t>
        </is>
      </c>
      <c r="B20" s="6" t="n">
        <v>1500</v>
      </c>
      <c r="C20" s="6" t="n">
        <v>0</v>
      </c>
      <c r="D20" s="13" t="n">
        <v>0</v>
      </c>
    </row>
    <row r="21">
      <c r="A21" s="5" t="inlineStr">
        <is>
          <t>Casa</t>
        </is>
      </c>
      <c r="B21" s="6" t="n">
        <v>200</v>
      </c>
      <c r="C21" s="6" t="n">
        <v>0</v>
      </c>
      <c r="D21" s="13" t="n">
        <v>0</v>
      </c>
    </row>
    <row r="22">
      <c r="A22" s="5" t="inlineStr">
        <is>
          <t>Taxas</t>
        </is>
      </c>
      <c r="B22" s="6" t="n">
        <v>100</v>
      </c>
      <c r="C22" s="6" t="n">
        <v>0</v>
      </c>
      <c r="D22" s="13" t="n">
        <v>0</v>
      </c>
    </row>
    <row r="25">
      <c r="A25" s="3" t="inlineStr">
        <is>
          <t>TENDENCIA MENSAL</t>
        </is>
      </c>
    </row>
    <row r="26">
      <c r="A26" s="12" t="inlineStr">
        <is>
          <t>Mes</t>
        </is>
      </c>
      <c r="B26" s="12" t="inlineStr">
        <is>
          <t>Projetado</t>
        </is>
      </c>
      <c r="C26" s="12" t="inlineStr">
        <is>
          <t>Real</t>
        </is>
      </c>
    </row>
    <row r="27">
      <c r="A27" s="5" t="inlineStr">
        <is>
          <t>Jan</t>
        </is>
      </c>
      <c r="B27" s="6" t="n">
        <v>34365</v>
      </c>
      <c r="C27" s="6" t="n">
        <v>0</v>
      </c>
    </row>
    <row r="28">
      <c r="A28" s="5" t="inlineStr">
        <is>
          <t>Fev</t>
        </is>
      </c>
      <c r="B28" s="6" t="n">
        <v>34365</v>
      </c>
      <c r="C28" s="6" t="n">
        <v>0</v>
      </c>
    </row>
    <row r="29">
      <c r="A29" s="5" t="inlineStr">
        <is>
          <t>Mar</t>
        </is>
      </c>
      <c r="B29" s="6" t="n">
        <v>30585</v>
      </c>
      <c r="C29" s="6" t="n">
        <v>0</v>
      </c>
    </row>
    <row r="30">
      <c r="A30" s="5" t="inlineStr">
        <is>
          <t>Abr</t>
        </is>
      </c>
      <c r="B30" s="6" t="n">
        <v>30500</v>
      </c>
      <c r="C30" s="6" t="n">
        <v>0</v>
      </c>
    </row>
    <row r="31">
      <c r="A31" s="5" t="inlineStr">
        <is>
          <t>Mai</t>
        </is>
      </c>
      <c r="B31" s="6" t="n">
        <v>30500</v>
      </c>
      <c r="C31" s="6" t="n">
        <v>0</v>
      </c>
    </row>
    <row r="32">
      <c r="A32" s="5" t="inlineStr">
        <is>
          <t>Jun</t>
        </is>
      </c>
      <c r="B32" s="6" t="n">
        <v>29958</v>
      </c>
      <c r="C32" s="6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4" t="inlineStr">
        <is>
          <t>GASTOS VARIÁVEIS - VISÃO 6 MESES</t>
        </is>
      </c>
    </row>
    <row r="2">
      <c r="A2" s="15" t="inlineStr">
        <is>
          <t>Gastos reais por categoria (não inclui parcelamentos/obra)</t>
        </is>
      </c>
    </row>
    <row r="4">
      <c r="A4" s="4" t="inlineStr">
        <is>
          <t>Categoria</t>
        </is>
      </c>
      <c r="B4" s="4" t="n">
        <v>0</v>
      </c>
      <c r="C4" s="4" t="inlineStr">
        <is>
          <t>Jan</t>
        </is>
      </c>
      <c r="D4" s="4" t="inlineStr">
        <is>
          <t>Fev</t>
        </is>
      </c>
      <c r="E4" s="4" t="inlineStr">
        <is>
          <t>Mar</t>
        </is>
      </c>
      <c r="F4" s="4" t="inlineStr">
        <is>
          <t>Abr</t>
        </is>
      </c>
      <c r="G4" s="4" t="inlineStr">
        <is>
          <t>Mai</t>
        </is>
      </c>
      <c r="H4" s="4" t="inlineStr">
        <is>
          <t>Jun</t>
        </is>
      </c>
      <c r="M4" t="n">
        <v>5048.87</v>
      </c>
    </row>
    <row r="5">
      <c r="A5" s="5" t="inlineStr">
        <is>
          <t>Alimentacao</t>
        </is>
      </c>
      <c r="B5" s="6" t="n">
        <v>2110.74</v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0</v>
      </c>
      <c r="M5" t="n">
        <v>7882.21</v>
      </c>
    </row>
    <row r="6">
      <c r="A6" s="5" t="inlineStr">
        <is>
          <t>Transporte</t>
        </is>
      </c>
      <c r="B6" s="6" t="n">
        <v>1730.24</v>
      </c>
      <c r="C6" s="6" t="n">
        <v>0</v>
      </c>
      <c r="D6" s="6" t="n">
        <v>0</v>
      </c>
      <c r="E6" s="6" t="n">
        <v>0</v>
      </c>
      <c r="F6" s="6" t="n">
        <v>0</v>
      </c>
      <c r="G6" s="6" t="n">
        <v>0</v>
      </c>
      <c r="H6" s="6" t="n">
        <v>0</v>
      </c>
      <c r="M6" t="n">
        <v>9500</v>
      </c>
    </row>
    <row r="7">
      <c r="A7" s="5" t="inlineStr">
        <is>
          <t>Saude</t>
        </is>
      </c>
      <c r="B7" s="6" t="n">
        <v>0</v>
      </c>
      <c r="C7" s="6" t="n">
        <v>0</v>
      </c>
      <c r="D7" s="6" t="n">
        <v>0</v>
      </c>
      <c r="E7" s="6" t="n">
        <v>0</v>
      </c>
      <c r="F7" s="6" t="n">
        <v>0</v>
      </c>
      <c r="G7" s="6" t="n">
        <v>0</v>
      </c>
      <c r="H7" s="6" t="n">
        <v>0</v>
      </c>
      <c r="M7" t="n">
        <v>3492.91</v>
      </c>
    </row>
    <row r="8">
      <c r="A8" s="5" t="inlineStr">
        <is>
          <t>Assinaturas</t>
        </is>
      </c>
      <c r="B8" s="6" t="n">
        <v>4669.66</v>
      </c>
      <c r="C8" s="6" t="n">
        <v>0</v>
      </c>
      <c r="D8" s="6" t="n">
        <v>0</v>
      </c>
      <c r="E8" s="6" t="n">
        <v>0</v>
      </c>
      <c r="F8" s="6" t="n">
        <v>0</v>
      </c>
      <c r="G8" s="6" t="n">
        <v>0</v>
      </c>
      <c r="H8" s="6" t="n">
        <v>0</v>
      </c>
      <c r="M8" t="n">
        <v>1967.4</v>
      </c>
    </row>
    <row r="9">
      <c r="A9" s="5" t="inlineStr">
        <is>
          <t>Compras</t>
        </is>
      </c>
      <c r="B9" s="6" t="n">
        <v>754.9400000000001</v>
      </c>
      <c r="C9" s="6" t="n">
        <v>0</v>
      </c>
      <c r="D9" s="6" t="n">
        <v>0</v>
      </c>
      <c r="E9" s="6" t="n">
        <v>0</v>
      </c>
      <c r="F9" s="6" t="n">
        <v>0</v>
      </c>
      <c r="G9" s="6" t="n">
        <v>0</v>
      </c>
      <c r="H9" s="6" t="n">
        <v>0</v>
      </c>
      <c r="M9" t="n">
        <v>2551.24</v>
      </c>
    </row>
    <row r="10">
      <c r="A10" s="5" t="inlineStr">
        <is>
          <t>Lazer</t>
        </is>
      </c>
      <c r="B10" s="6" t="n">
        <v>0</v>
      </c>
      <c r="C10" s="6" t="n">
        <v>0</v>
      </c>
      <c r="D10" s="6" t="n">
        <v>0</v>
      </c>
      <c r="E10" s="6" t="n">
        <v>0</v>
      </c>
      <c r="F10" s="6" t="n">
        <v>0</v>
      </c>
      <c r="G10" s="6" t="n">
        <v>0</v>
      </c>
      <c r="H10" s="6" t="n">
        <v>0</v>
      </c>
      <c r="M10" t="n">
        <v>618.86</v>
      </c>
    </row>
    <row r="11">
      <c r="A11" s="5" t="inlineStr">
        <is>
          <t>Educacao</t>
        </is>
      </c>
      <c r="B11" s="6" t="n">
        <v>0</v>
      </c>
      <c r="C11" s="6" t="n">
        <v>0</v>
      </c>
      <c r="D11" s="6" t="n">
        <v>0</v>
      </c>
      <c r="E11" s="6" t="n">
        <v>0</v>
      </c>
      <c r="F11" s="6" t="n">
        <v>0</v>
      </c>
      <c r="G11" s="6" t="n">
        <v>0</v>
      </c>
      <c r="H11" s="6" t="n">
        <v>0</v>
      </c>
      <c r="M11" t="n">
        <v>39.9</v>
      </c>
    </row>
    <row r="12">
      <c r="A12" s="5" t="inlineStr">
        <is>
          <t>Casa</t>
        </is>
      </c>
      <c r="B12" s="6" t="n">
        <v>0</v>
      </c>
      <c r="C12" s="6" t="n">
        <v>0</v>
      </c>
      <c r="D12" s="6" t="n">
        <v>0</v>
      </c>
      <c r="E12" s="6" t="n">
        <v>0</v>
      </c>
      <c r="F12" s="6" t="n">
        <v>0</v>
      </c>
      <c r="G12" s="6" t="n">
        <v>0</v>
      </c>
      <c r="H12" s="6" t="n">
        <v>0</v>
      </c>
      <c r="M12" t="n">
        <v>0</v>
      </c>
    </row>
    <row r="13">
      <c r="A13" s="5" t="inlineStr">
        <is>
          <t>Taxas</t>
        </is>
      </c>
      <c r="B13" s="6" t="n">
        <v>500</v>
      </c>
      <c r="C13" s="6" t="n">
        <v>0</v>
      </c>
      <c r="D13" s="6" t="n">
        <v>0</v>
      </c>
      <c r="E13" s="6" t="n">
        <v>0</v>
      </c>
      <c r="F13" s="6" t="n">
        <v>0</v>
      </c>
      <c r="G13" s="6" t="n">
        <v>0</v>
      </c>
      <c r="H13" s="6" t="n">
        <v>0</v>
      </c>
    </row>
    <row r="14">
      <c r="A14" s="9" t="inlineStr">
        <is>
          <t>TOTAL</t>
        </is>
      </c>
      <c r="B14" s="10" t="n">
        <v>16500</v>
      </c>
      <c r="C14" s="10" t="n">
        <v>0</v>
      </c>
      <c r="D14" s="10" t="n">
        <v>0</v>
      </c>
      <c r="E14" s="10" t="n">
        <v>0</v>
      </c>
      <c r="F14" s="10" t="n">
        <v>0</v>
      </c>
      <c r="G14" s="10" t="n">
        <v>0</v>
      </c>
      <c r="H14" s="10" t="n">
        <v>0</v>
      </c>
    </row>
    <row r="15">
      <c r="A15" s="16" t="inlineStr">
        <is>
          <t>% do Budget</t>
        </is>
      </c>
      <c r="B15" s="5" t="inlineStr"/>
      <c r="C15" s="17" t="n">
        <v>0</v>
      </c>
      <c r="D15" s="17" t="n">
        <v>0</v>
      </c>
      <c r="E15" s="17" t="n">
        <v>0</v>
      </c>
      <c r="F15" s="17" t="n">
        <v>0</v>
      </c>
      <c r="G15" s="17" t="n">
        <v>0</v>
      </c>
      <c r="H15" s="17" t="n">
        <v>0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2" customWidth="1" min="3" max="3"/>
    <col width="14" customWidth="1" min="4" max="4"/>
    <col width="10" customWidth="1" min="5" max="5"/>
    <col width="10" customWidth="1" min="6" max="6"/>
  </cols>
  <sheetData>
    <row r="1">
      <c r="A1" s="14" t="inlineStr">
        <is>
          <t>JANEIRO 2026 - GASTOS POR CATEGORIA</t>
        </is>
      </c>
    </row>
    <row r="2">
      <c r="A2" s="15" t="inlineStr">
        <is>
          <t>Gastos variáveis do mês (não inclui parcelamentos/obra)</t>
        </is>
      </c>
    </row>
    <row r="4">
      <c r="A4" s="4" t="inlineStr">
        <is>
          <t>Categoria</t>
        </is>
      </c>
      <c r="B4" s="4" t="inlineStr">
        <is>
          <t>Budget</t>
        </is>
      </c>
      <c r="C4" s="4" t="n">
        <v>0</v>
      </c>
      <c r="D4" s="4" t="n">
        <v>3500</v>
      </c>
      <c r="E4" s="4" t="n">
        <v>0</v>
      </c>
      <c r="F4" s="4" t="inlineStr">
        <is>
          <t>Status</t>
        </is>
      </c>
    </row>
    <row r="5">
      <c r="A5" s="5" t="inlineStr">
        <is>
          <t>Alimentacao</t>
        </is>
      </c>
      <c r="B5" s="6" t="n">
        <v>4000</v>
      </c>
      <c r="C5" s="6" t="n">
        <v>2110.74</v>
      </c>
      <c r="D5" s="6" t="n">
        <v>389.2599999999998</v>
      </c>
      <c r="E5" s="18" t="n">
        <v>0.844296</v>
      </c>
      <c r="F5" s="7" t="inlineStr">
        <is>
          <t>✅</t>
        </is>
      </c>
    </row>
    <row r="6">
      <c r="A6" s="5" t="inlineStr">
        <is>
          <t>Transporte</t>
        </is>
      </c>
      <c r="B6" s="6" t="n">
        <v>1000</v>
      </c>
      <c r="C6" s="6" t="n">
        <v>1730.24</v>
      </c>
      <c r="D6" s="6" t="n">
        <v>-1230.24</v>
      </c>
      <c r="E6" s="18" t="n">
        <v>3.46048</v>
      </c>
      <c r="F6" s="7" t="inlineStr">
        <is>
          <t>✅</t>
        </is>
      </c>
    </row>
    <row r="7">
      <c r="A7" s="5" t="inlineStr">
        <is>
          <t>Saude</t>
        </is>
      </c>
      <c r="B7" s="6" t="n">
        <v>1000</v>
      </c>
      <c r="C7" s="6" t="n">
        <v>0</v>
      </c>
      <c r="D7" s="6" t="n">
        <v>4000</v>
      </c>
      <c r="E7" s="18" t="n">
        <v>0</v>
      </c>
      <c r="F7" s="7" t="inlineStr">
        <is>
          <t>✅</t>
        </is>
      </c>
    </row>
    <row r="8">
      <c r="A8" s="5" t="inlineStr">
        <is>
          <t>Assinaturas</t>
        </is>
      </c>
      <c r="B8" s="6" t="n">
        <v>3000</v>
      </c>
      <c r="C8" s="6" t="n">
        <v>4669.66</v>
      </c>
      <c r="D8" s="6" t="n">
        <v>-2669.66</v>
      </c>
      <c r="E8" s="18" t="n">
        <v>2.33483</v>
      </c>
      <c r="F8" s="7" t="inlineStr">
        <is>
          <t>✅</t>
        </is>
      </c>
    </row>
    <row r="9">
      <c r="A9" s="5" t="inlineStr">
        <is>
          <t>Compras</t>
        </is>
      </c>
      <c r="B9" s="6" t="n">
        <v>3000</v>
      </c>
      <c r="C9" s="6" t="n">
        <v>754.9400000000001</v>
      </c>
      <c r="D9" s="6" t="n">
        <v>2745.06</v>
      </c>
      <c r="E9" s="18" t="n">
        <v>0.2156971428571429</v>
      </c>
      <c r="F9" s="7" t="inlineStr">
        <is>
          <t>✅</t>
        </is>
      </c>
    </row>
    <row r="10">
      <c r="A10" s="5" t="inlineStr">
        <is>
          <t>Lazer</t>
        </is>
      </c>
      <c r="B10" s="6" t="n">
        <v>1500</v>
      </c>
      <c r="C10" s="6" t="n">
        <v>0</v>
      </c>
      <c r="D10" s="6" t="n">
        <v>1500</v>
      </c>
      <c r="E10" s="18" t="n">
        <v>0</v>
      </c>
      <c r="F10" s="7" t="inlineStr">
        <is>
          <t>✅</t>
        </is>
      </c>
    </row>
    <row r="11">
      <c r="A11" s="5" t="inlineStr">
        <is>
          <t>Educacao</t>
        </is>
      </c>
      <c r="B11" s="6" t="n">
        <v>500</v>
      </c>
      <c r="C11" s="6" t="n">
        <v>0</v>
      </c>
      <c r="D11" s="6" t="n">
        <v>200</v>
      </c>
      <c r="E11" s="18" t="n">
        <v>0</v>
      </c>
      <c r="F11" s="7" t="inlineStr">
        <is>
          <t>✅</t>
        </is>
      </c>
    </row>
    <row r="12">
      <c r="A12" s="5" t="inlineStr">
        <is>
          <t>Casa</t>
        </is>
      </c>
      <c r="B12" s="6" t="n">
        <v>2000</v>
      </c>
      <c r="C12" s="6" t="n">
        <v>0</v>
      </c>
      <c r="D12" s="6" t="n">
        <v>100</v>
      </c>
      <c r="E12" s="18" t="n">
        <v>0</v>
      </c>
      <c r="F12" s="7" t="inlineStr">
        <is>
          <t>✅</t>
        </is>
      </c>
    </row>
    <row r="13">
      <c r="A13" s="5" t="inlineStr">
        <is>
          <t>Taxas</t>
        </is>
      </c>
      <c r="B13" s="6" t="n">
        <v>500</v>
      </c>
      <c r="C13" s="6" t="n">
        <v>0</v>
      </c>
      <c r="D13" s="6" t="n">
        <v>500</v>
      </c>
      <c r="E13" s="18" t="n">
        <v>0</v>
      </c>
      <c r="F13" s="7" t="inlineStr">
        <is>
          <t>✅</t>
        </is>
      </c>
    </row>
    <row r="14">
      <c r="A14" s="9" t="inlineStr">
        <is>
          <t>TOTAL</t>
        </is>
      </c>
      <c r="B14" s="10" t="n">
        <v>16500</v>
      </c>
      <c r="C14" s="10" t="n">
        <v>0</v>
      </c>
      <c r="D14" s="10" t="n">
        <v>16500</v>
      </c>
      <c r="E14" s="19" t="n">
        <v>0</v>
      </c>
    </row>
  </sheetData>
  <mergeCells count="1">
    <mergeCell ref="A1:E1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  <col width="10" customWidth="1" min="7" max="7"/>
  </cols>
  <sheetData>
    <row r="1">
      <c r="A1" s="14" t="inlineStr">
        <is>
          <t>CONTROLE DE PARCELAMENTOS</t>
        </is>
      </c>
    </row>
    <row r="3">
      <c r="A3" s="3" t="inlineStr">
        <is>
          <t>GRANDES COMPROMISSOS</t>
        </is>
      </c>
    </row>
    <row r="4">
      <c r="A4" s="12" t="inlineStr">
        <is>
          <t>Descricao</t>
        </is>
      </c>
      <c r="B4" s="12" t="inlineStr">
        <is>
          <t>Total</t>
        </is>
      </c>
      <c r="C4" s="12" t="inlineStr">
        <is>
          <t>Parcela</t>
        </is>
      </c>
      <c r="D4" s="12" t="inlineStr">
        <is>
          <t>Valor/Mes</t>
        </is>
      </c>
      <c r="E4" s="12" t="inlineStr">
        <is>
          <t>Pago</t>
        </is>
      </c>
      <c r="F4" s="12" t="inlineStr">
        <is>
          <t>Pendente</t>
        </is>
      </c>
      <c r="G4" s="12" t="inlineStr">
        <is>
          <t>Status</t>
        </is>
      </c>
    </row>
    <row r="5">
      <c r="A5" s="5" t="inlineStr">
        <is>
          <t>Moveis Planejados</t>
        </is>
      </c>
      <c r="B5" s="6" t="n">
        <v>95000</v>
      </c>
      <c r="C5" s="5" t="inlineStr">
        <is>
          <t>1/10</t>
        </is>
      </c>
      <c r="D5" s="6" t="n">
        <v>9500</v>
      </c>
      <c r="E5" s="6" t="n">
        <v>9500</v>
      </c>
      <c r="F5" s="6" t="n">
        <v>85500</v>
      </c>
      <c r="G5" s="5" t="inlineStr">
        <is>
          <t>Em dia</t>
        </is>
      </c>
    </row>
    <row r="6">
      <c r="A6" s="5" t="inlineStr">
        <is>
          <t>Mesa + Cadeiras</t>
        </is>
      </c>
      <c r="B6" s="6" t="n">
        <v>16000</v>
      </c>
      <c r="C6" s="5" t="inlineStr">
        <is>
          <t>1/10</t>
        </is>
      </c>
      <c r="D6" s="6" t="n">
        <v>1600</v>
      </c>
      <c r="E6" s="6" t="n">
        <v>0</v>
      </c>
      <c r="F6" s="6" t="n">
        <v>16000</v>
      </c>
      <c r="G6" s="5" t="inlineStr">
        <is>
          <t>Novo</t>
        </is>
      </c>
    </row>
    <row r="7">
      <c r="A7" s="5" t="inlineStr">
        <is>
          <t>Eletrodomesticos</t>
        </is>
      </c>
      <c r="B7" s="6" t="n">
        <v>15000</v>
      </c>
      <c r="C7" s="5" t="inlineStr">
        <is>
          <t>0/6</t>
        </is>
      </c>
      <c r="D7" s="6" t="n">
        <v>2500</v>
      </c>
      <c r="E7" s="6" t="n">
        <v>0</v>
      </c>
      <c r="F7" s="6" t="n">
        <v>15000</v>
      </c>
      <c r="G7" s="5" t="inlineStr">
        <is>
          <t>Futuro</t>
        </is>
      </c>
    </row>
    <row r="10">
      <c r="A10" s="3" t="inlineStr">
        <is>
          <t>OUTROS PARCELAMENTOS</t>
        </is>
      </c>
    </row>
    <row r="11">
      <c r="A11" s="12" t="inlineStr">
        <is>
          <t>Descricao</t>
        </is>
      </c>
      <c r="B11" s="12" t="inlineStr">
        <is>
          <t>Total</t>
        </is>
      </c>
      <c r="C11" s="12" t="inlineStr">
        <is>
          <t>Parcela</t>
        </is>
      </c>
      <c r="D11" s="12" t="inlineStr">
        <is>
          <t>Valor/Mes</t>
        </is>
      </c>
      <c r="E11" s="12" t="inlineStr">
        <is>
          <t>Termino</t>
        </is>
      </c>
    </row>
    <row r="12">
      <c r="A12" s="5" t="inlineStr">
        <is>
          <t>TOK STOK</t>
        </is>
      </c>
      <c r="B12" s="6" t="n">
        <v>3600</v>
      </c>
      <c r="C12" s="5" t="inlineStr">
        <is>
          <t>7/12</t>
        </is>
      </c>
      <c r="D12" s="6" t="n">
        <v>300</v>
      </c>
      <c r="E12" s="5" t="inlineStr">
        <is>
          <t>Jul/26</t>
        </is>
      </c>
    </row>
    <row r="13">
      <c r="A13" s="5" t="inlineStr">
        <is>
          <t>KABUM</t>
        </is>
      </c>
      <c r="B13" s="6" t="n">
        <v>2400</v>
      </c>
      <c r="C13" s="5" t="inlineStr">
        <is>
          <t>4/12</t>
        </is>
      </c>
      <c r="D13" s="6" t="n">
        <v>200</v>
      </c>
      <c r="E13" s="5" t="inlineStr">
        <is>
          <t>Out/26</t>
        </is>
      </c>
    </row>
    <row r="14">
      <c r="A14" s="5" t="inlineStr">
        <is>
          <t>MERCADO LIVRE</t>
        </is>
      </c>
      <c r="B14" s="6" t="n">
        <v>2400</v>
      </c>
      <c r="C14" s="5" t="inlineStr">
        <is>
          <t>3/12</t>
        </is>
      </c>
      <c r="D14" s="6" t="n">
        <v>200</v>
      </c>
      <c r="E14" s="5" t="inlineStr">
        <is>
          <t>Nov/26</t>
        </is>
      </c>
    </row>
    <row r="15">
      <c r="A15" s="5" t="inlineStr">
        <is>
          <t>LEROY MERLIN</t>
        </is>
      </c>
      <c r="B15" s="6" t="n">
        <v>2160</v>
      </c>
      <c r="C15" s="5" t="inlineStr">
        <is>
          <t>5/12</t>
        </is>
      </c>
      <c r="D15" s="6" t="n">
        <v>180</v>
      </c>
      <c r="E15" s="5" t="inlineStr">
        <is>
          <t>Set/26</t>
        </is>
      </c>
    </row>
    <row r="16">
      <c r="A16" s="5" t="inlineStr">
        <is>
          <t>CASAS BAHIA</t>
        </is>
      </c>
      <c r="B16" s="6" t="n">
        <v>1800</v>
      </c>
      <c r="C16" s="5" t="inlineStr">
        <is>
          <t>6/12</t>
        </is>
      </c>
      <c r="D16" s="6" t="n">
        <v>150</v>
      </c>
      <c r="E16" s="5" t="inlineStr">
        <is>
          <t>Ago/26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cols>
    <col width="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</cols>
  <sheetData>
    <row r="1">
      <c r="A1" s="14" t="inlineStr">
        <is>
          <t>FLUXO DE CAIXA ANUAL 2026</t>
        </is>
      </c>
    </row>
    <row r="2">
      <c r="A2" s="15" t="inlineStr">
        <is>
          <t>Projetado (P) vs Real (R) - Visão consolidada do ano</t>
        </is>
      </c>
    </row>
    <row r="4">
      <c r="A4" s="20" t="inlineStr">
        <is>
          <t>Mês</t>
        </is>
      </c>
      <c r="B4" s="20" t="inlineStr">
        <is>
          <t>Receita</t>
        </is>
      </c>
      <c r="C4" s="20" t="inlineStr">
        <is>
          <t>Variáveis (P)</t>
        </is>
      </c>
      <c r="D4" s="20" t="inlineStr">
        <is>
          <t>Variáveis (R)</t>
        </is>
      </c>
      <c r="E4" s="20" t="inlineStr">
        <is>
          <t>Parcelam (P)</t>
        </is>
      </c>
      <c r="F4" s="20" t="inlineStr">
        <is>
          <t>Parcelam (R)</t>
        </is>
      </c>
      <c r="G4" s="20" t="inlineStr">
        <is>
          <t>Obra (P)</t>
        </is>
      </c>
      <c r="H4" s="20" t="inlineStr">
        <is>
          <t>Obra (R)</t>
        </is>
      </c>
      <c r="I4" s="20" t="inlineStr">
        <is>
          <t>Saída (P)</t>
        </is>
      </c>
      <c r="J4" s="20" t="inlineStr">
        <is>
          <t>Saída (R)</t>
        </is>
      </c>
      <c r="K4" s="20" t="inlineStr">
        <is>
          <t>Poupança (P)</t>
        </is>
      </c>
      <c r="L4" s="20" t="inlineStr">
        <is>
          <t>Poupança (R)</t>
        </is>
      </c>
    </row>
    <row r="5">
      <c r="A5" s="5" t="inlineStr">
        <is>
          <t>Jan</t>
        </is>
      </c>
      <c r="B5" s="6" t="n">
        <v>55000</v>
      </c>
      <c r="C5" s="6" t="n">
        <v>16500</v>
      </c>
      <c r="D5" s="6" t="n">
        <v>7453</v>
      </c>
      <c r="E5" s="6" t="n">
        <v>17865</v>
      </c>
      <c r="F5" s="6" t="n">
        <v>9500</v>
      </c>
      <c r="G5" s="6" t="n">
        <v>9590</v>
      </c>
      <c r="H5" s="6" t="n">
        <v>0</v>
      </c>
      <c r="I5" s="6" t="n">
        <v>43955</v>
      </c>
      <c r="J5" s="6" t="n">
        <v>16953</v>
      </c>
      <c r="K5" s="6" t="n">
        <v>11045</v>
      </c>
      <c r="L5" s="6" t="n">
        <v>38047</v>
      </c>
    </row>
    <row r="6">
      <c r="A6" s="5" t="inlineStr">
        <is>
          <t>Fev</t>
        </is>
      </c>
      <c r="B6" s="6" t="n">
        <v>55000</v>
      </c>
      <c r="C6" s="6" t="n">
        <v>16500</v>
      </c>
      <c r="D6" s="21" t="n">
        <v>0</v>
      </c>
      <c r="E6" s="6" t="n">
        <v>17865</v>
      </c>
      <c r="F6" s="21" t="n">
        <v>0</v>
      </c>
      <c r="G6" s="6" t="n">
        <v>6250</v>
      </c>
      <c r="H6" s="21" t="n">
        <v>0</v>
      </c>
      <c r="I6" s="6" t="n">
        <v>40615</v>
      </c>
      <c r="J6" s="21" t="n">
        <v>0</v>
      </c>
      <c r="K6" s="6" t="n">
        <v>14385</v>
      </c>
      <c r="L6" s="21" t="n">
        <v>0</v>
      </c>
    </row>
    <row r="7">
      <c r="A7" s="5" t="inlineStr">
        <is>
          <t>Mar</t>
        </is>
      </c>
      <c r="B7" s="6" t="n">
        <v>55000</v>
      </c>
      <c r="C7" s="6" t="n">
        <v>16500</v>
      </c>
      <c r="D7" s="21" t="n">
        <v>0</v>
      </c>
      <c r="E7" s="6" t="n">
        <v>14085</v>
      </c>
      <c r="F7" s="21" t="n">
        <v>0</v>
      </c>
      <c r="G7" s="6" t="n">
        <v>7333</v>
      </c>
      <c r="H7" s="21" t="n">
        <v>0</v>
      </c>
      <c r="I7" s="6" t="n">
        <v>37918</v>
      </c>
      <c r="J7" s="21" t="n">
        <v>0</v>
      </c>
      <c r="K7" s="6" t="n">
        <v>17082</v>
      </c>
      <c r="L7" s="21" t="n">
        <v>0</v>
      </c>
    </row>
    <row r="8">
      <c r="A8" s="5" t="inlineStr">
        <is>
          <t>Abr</t>
        </is>
      </c>
      <c r="B8" s="6" t="n">
        <v>55000</v>
      </c>
      <c r="C8" s="6" t="n">
        <v>16500</v>
      </c>
      <c r="D8" s="21" t="n">
        <v>0</v>
      </c>
      <c r="E8" s="6" t="n">
        <v>14000</v>
      </c>
      <c r="F8" s="21" t="n">
        <v>0</v>
      </c>
      <c r="G8" s="6" t="n">
        <v>7333</v>
      </c>
      <c r="H8" s="21" t="n">
        <v>0</v>
      </c>
      <c r="I8" s="6" t="n">
        <v>37833</v>
      </c>
      <c r="J8" s="21" t="n">
        <v>0</v>
      </c>
      <c r="K8" s="6" t="n">
        <v>17167</v>
      </c>
      <c r="L8" s="21" t="n">
        <v>0</v>
      </c>
    </row>
    <row r="9">
      <c r="A9" s="5" t="inlineStr">
        <is>
          <t>Mai</t>
        </is>
      </c>
      <c r="B9" s="6" t="n">
        <v>55000</v>
      </c>
      <c r="C9" s="6" t="n">
        <v>16500</v>
      </c>
      <c r="D9" s="21" t="n">
        <v>0</v>
      </c>
      <c r="E9" s="6" t="n">
        <v>14000</v>
      </c>
      <c r="F9" s="21" t="n">
        <v>0</v>
      </c>
      <c r="G9" s="6" t="n">
        <v>7333</v>
      </c>
      <c r="H9" s="21" t="n">
        <v>0</v>
      </c>
      <c r="I9" s="6" t="n">
        <v>37833</v>
      </c>
      <c r="J9" s="21" t="n">
        <v>0</v>
      </c>
      <c r="K9" s="6" t="n">
        <v>17167</v>
      </c>
      <c r="L9" s="21" t="n">
        <v>0</v>
      </c>
    </row>
    <row r="10">
      <c r="A10" s="5" t="inlineStr">
        <is>
          <t>Jun</t>
        </is>
      </c>
      <c r="B10" s="6" t="n">
        <v>55000</v>
      </c>
      <c r="C10" s="6" t="n">
        <v>16500</v>
      </c>
      <c r="D10" s="21" t="n">
        <v>0</v>
      </c>
      <c r="E10" s="6" t="n">
        <v>13458</v>
      </c>
      <c r="F10" s="21" t="n">
        <v>0</v>
      </c>
      <c r="G10" s="6" t="n">
        <v>19083</v>
      </c>
      <c r="H10" s="21" t="n">
        <v>0</v>
      </c>
      <c r="I10" s="6" t="n">
        <v>49041</v>
      </c>
      <c r="J10" s="21" t="n">
        <v>0</v>
      </c>
      <c r="K10" s="6" t="n">
        <v>5959</v>
      </c>
      <c r="L10" s="21" t="n">
        <v>0</v>
      </c>
    </row>
    <row r="11">
      <c r="A11" s="5" t="inlineStr">
        <is>
          <t>Jul</t>
        </is>
      </c>
      <c r="B11" s="6" t="n">
        <v>55000</v>
      </c>
      <c r="C11" s="6" t="n">
        <v>16500</v>
      </c>
      <c r="D11" s="21" t="n">
        <v>0</v>
      </c>
      <c r="E11" s="6" t="n">
        <v>13045</v>
      </c>
      <c r="F11" s="21" t="n">
        <v>0</v>
      </c>
      <c r="G11" s="6" t="n">
        <v>7084</v>
      </c>
      <c r="H11" s="21" t="n">
        <v>0</v>
      </c>
      <c r="I11" s="6" t="n">
        <v>36629</v>
      </c>
      <c r="J11" s="21" t="n">
        <v>0</v>
      </c>
      <c r="K11" s="6" t="n">
        <v>18371</v>
      </c>
      <c r="L11" s="21" t="n">
        <v>0</v>
      </c>
    </row>
    <row r="12">
      <c r="A12" s="5" t="inlineStr">
        <is>
          <t>Ago</t>
        </is>
      </c>
      <c r="B12" s="6" t="n">
        <v>55000</v>
      </c>
      <c r="C12" s="6" t="n">
        <v>16500</v>
      </c>
      <c r="D12" s="21" t="n">
        <v>0</v>
      </c>
      <c r="E12" s="6" t="n">
        <v>13045</v>
      </c>
      <c r="F12" s="21" t="n">
        <v>0</v>
      </c>
      <c r="G12" s="6" t="n">
        <v>7084</v>
      </c>
      <c r="H12" s="21" t="n">
        <v>0</v>
      </c>
      <c r="I12" s="6" t="n">
        <v>36629</v>
      </c>
      <c r="J12" s="21" t="n">
        <v>0</v>
      </c>
      <c r="K12" s="6" t="n">
        <v>18371</v>
      </c>
      <c r="L12" s="21" t="n">
        <v>0</v>
      </c>
    </row>
    <row r="13">
      <c r="A13" s="5" t="inlineStr">
        <is>
          <t>Set</t>
        </is>
      </c>
      <c r="B13" s="6" t="n">
        <v>55000</v>
      </c>
      <c r="C13" s="6" t="n">
        <v>16500</v>
      </c>
      <c r="D13" s="21" t="n">
        <v>0</v>
      </c>
      <c r="E13" s="6" t="n">
        <v>14350</v>
      </c>
      <c r="F13" s="21" t="n">
        <v>0</v>
      </c>
      <c r="G13" s="6" t="n">
        <v>7000</v>
      </c>
      <c r="H13" s="21" t="n">
        <v>0</v>
      </c>
      <c r="I13" s="6" t="n">
        <v>37850</v>
      </c>
      <c r="J13" s="21" t="n">
        <v>0</v>
      </c>
      <c r="K13" s="6" t="n">
        <v>17150</v>
      </c>
      <c r="L13" s="21" t="n">
        <v>0</v>
      </c>
    </row>
    <row r="14">
      <c r="A14" s="5" t="inlineStr">
        <is>
          <t>Out</t>
        </is>
      </c>
      <c r="B14" s="6" t="n">
        <v>55000</v>
      </c>
      <c r="C14" s="6" t="n">
        <v>16500</v>
      </c>
      <c r="D14" s="21" t="n">
        <v>0</v>
      </c>
      <c r="E14" s="6" t="n">
        <v>14350</v>
      </c>
      <c r="F14" s="21" t="n">
        <v>0</v>
      </c>
      <c r="G14" s="6" t="n">
        <v>7000</v>
      </c>
      <c r="H14" s="21" t="n">
        <v>0</v>
      </c>
      <c r="I14" s="6" t="n">
        <v>37850</v>
      </c>
      <c r="J14" s="21" t="n">
        <v>0</v>
      </c>
      <c r="K14" s="6" t="n">
        <v>17150</v>
      </c>
      <c r="L14" s="21" t="n">
        <v>0</v>
      </c>
    </row>
    <row r="15">
      <c r="A15" s="5" t="inlineStr">
        <is>
          <t>Nov</t>
        </is>
      </c>
      <c r="B15" s="6" t="n">
        <v>55000</v>
      </c>
      <c r="C15" s="6" t="n">
        <v>16500</v>
      </c>
      <c r="D15" s="21" t="n">
        <v>0</v>
      </c>
      <c r="E15" s="6" t="n">
        <v>2500</v>
      </c>
      <c r="F15" s="21" t="n">
        <v>0</v>
      </c>
      <c r="G15" s="6" t="n">
        <v>5850</v>
      </c>
      <c r="H15" s="21" t="n">
        <v>0</v>
      </c>
      <c r="I15" s="6" t="n">
        <v>24850</v>
      </c>
      <c r="J15" s="21" t="n">
        <v>0</v>
      </c>
      <c r="K15" s="6" t="n">
        <v>30150</v>
      </c>
      <c r="L15" s="21" t="n">
        <v>0</v>
      </c>
    </row>
    <row r="16">
      <c r="A16" s="5" t="inlineStr">
        <is>
          <t>Dez</t>
        </is>
      </c>
      <c r="B16" s="6" t="n">
        <v>55000</v>
      </c>
      <c r="C16" s="6" t="n">
        <v>16500</v>
      </c>
      <c r="D16" s="21" t="n">
        <v>0</v>
      </c>
      <c r="E16" s="6" t="n">
        <v>2500</v>
      </c>
      <c r="F16" s="21" t="n">
        <v>0</v>
      </c>
      <c r="G16" s="6" t="n">
        <v>0</v>
      </c>
      <c r="H16" s="21" t="n">
        <v>0</v>
      </c>
      <c r="I16" s="6" t="n">
        <v>19000</v>
      </c>
      <c r="J16" s="21" t="n">
        <v>0</v>
      </c>
      <c r="K16" s="6" t="n">
        <v>36000</v>
      </c>
      <c r="L16" s="21" t="n">
        <v>0</v>
      </c>
    </row>
    <row r="17">
      <c r="A17" s="9" t="inlineStr">
        <is>
          <t>TOTAL</t>
        </is>
      </c>
      <c r="B17" s="10" t="n">
        <v>660000</v>
      </c>
      <c r="C17" s="10" t="n">
        <v>198000</v>
      </c>
      <c r="D17" s="10" t="n">
        <v>7453</v>
      </c>
      <c r="E17" s="10" t="n">
        <v>151063</v>
      </c>
      <c r="F17" s="10" t="n">
        <v>9500</v>
      </c>
      <c r="G17" s="10" t="n">
        <v>90940</v>
      </c>
      <c r="H17" s="10" t="n">
        <v>0</v>
      </c>
      <c r="I17" s="10" t="n">
        <v>440003</v>
      </c>
      <c r="J17" s="10" t="n">
        <v>16953</v>
      </c>
      <c r="K17" s="10" t="n">
        <v>219997</v>
      </c>
      <c r="L17" s="10" t="n">
        <v>38047</v>
      </c>
    </row>
  </sheetData>
  <mergeCells count="1">
    <mergeCell ref="A1:K1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2" customWidth="1" min="4" max="4"/>
    <col width="12" customWidth="1" min="5" max="5"/>
    <col width="25" customWidth="1" min="6" max="6"/>
  </cols>
  <sheetData>
    <row r="1">
      <c r="A1" s="14" t="inlineStr">
        <is>
          <t>PREVISÕES E OTIMIZAÇÃO - Machine Learning</t>
        </is>
      </c>
    </row>
    <row r="2">
      <c r="A2" s="15" t="inlineStr">
        <is>
          <t>Gerado em: 28/12/2025 19:35</t>
        </is>
      </c>
    </row>
    <row r="4">
      <c r="A4" s="3" t="inlineStr">
        <is>
          <t>PREVISÕES PARA O PRÓXIMO MÊS</t>
        </is>
      </c>
    </row>
    <row r="5">
      <c r="A5" s="12" t="inlineStr">
        <is>
          <t>Categoria</t>
        </is>
      </c>
      <c r="B5" s="12" t="inlineStr">
        <is>
          <t>Previsão</t>
        </is>
      </c>
      <c r="C5" s="12" t="inlineStr">
        <is>
          <t>Confiança</t>
        </is>
      </c>
      <c r="D5" s="12" t="inlineStr">
        <is>
          <t>Mín</t>
        </is>
      </c>
      <c r="E5" s="12" t="inlineStr">
        <is>
          <t>Máx</t>
        </is>
      </c>
      <c r="F5" s="12" t="inlineStr">
        <is>
          <t>Tendência</t>
        </is>
      </c>
    </row>
    <row r="6">
      <c r="A6" s="5" t="inlineStr">
        <is>
          <t>Casa</t>
        </is>
      </c>
      <c r="B6" s="6" t="n">
        <v>0</v>
      </c>
      <c r="C6" s="18" t="n">
        <v>0</v>
      </c>
      <c r="D6" s="6" t="n">
        <v>0</v>
      </c>
      <c r="E6" s="6" t="n">
        <v>0</v>
      </c>
      <c r="F6" s="5" t="inlineStr">
        <is>
          <t>-</t>
        </is>
      </c>
    </row>
    <row r="9">
      <c r="A9" s="3" t="inlineStr">
        <is>
          <t>OTIMIZAÇÃO DE BUDGET</t>
        </is>
      </c>
    </row>
    <row r="10">
      <c r="A10" s="12" t="inlineStr">
        <is>
          <t>Categoria</t>
        </is>
      </c>
      <c r="B10" s="12" t="inlineStr">
        <is>
          <t>Budget Atual</t>
        </is>
      </c>
      <c r="C10" s="12" t="inlineStr">
        <is>
          <t>Sugerido</t>
        </is>
      </c>
      <c r="D10" s="12" t="inlineStr">
        <is>
          <t>Mudança</t>
        </is>
      </c>
      <c r="E10" s="12" t="inlineStr">
        <is>
          <t>%</t>
        </is>
      </c>
      <c r="F10" s="12" t="inlineStr">
        <is>
          <t>Motivo</t>
        </is>
      </c>
    </row>
    <row r="11">
      <c r="A11" s="5" t="inlineStr">
        <is>
          <t>Casa</t>
        </is>
      </c>
      <c r="B11" s="6" t="n">
        <v>2000</v>
      </c>
      <c r="C11" s="6" t="n">
        <v>10450</v>
      </c>
      <c r="D11" s="22" t="n">
        <v>8450</v>
      </c>
      <c r="E11" s="23" t="n">
        <v>4.225</v>
      </c>
      <c r="F11" s="5" t="inlineStr">
        <is>
          <t>Média de gastos R$ 9,500 excede budget</t>
        </is>
      </c>
    </row>
    <row r="14">
      <c r="A14" s="3" t="inlineStr">
        <is>
          <t>RESUMO</t>
        </is>
      </c>
    </row>
    <row r="15">
      <c r="A15" t="inlineStr">
        <is>
          <t>Potencial de economia mensal:</t>
        </is>
      </c>
      <c r="B15" s="24" t="n">
        <v>8450</v>
      </c>
    </row>
    <row r="16">
      <c r="A16" t="inlineStr">
        <is>
          <t>Economia anual estimada:</t>
        </is>
      </c>
      <c r="B16" s="25" t="n">
        <v>101400</v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26" t="inlineStr">
        <is>
          <t>DADOS SINCRONIZADOS</t>
        </is>
      </c>
    </row>
    <row r="3">
      <c r="A3" t="inlineStr">
        <is>
          <t>sync_timestamp</t>
        </is>
      </c>
      <c r="B3" t="inlineStr">
        <is>
          <t>2025-12-31T11:09:01.247836</t>
        </is>
      </c>
    </row>
    <row r="4">
      <c r="A4" t="inlineStr">
        <is>
          <t>source</t>
        </is>
      </c>
      <c r="B4" t="inlineStr">
        <is>
          <t>finance.db</t>
        </is>
      </c>
    </row>
    <row r="6">
      <c r="A6" t="inlineStr">
        <is>
          <t>CATEGORIAS</t>
        </is>
      </c>
    </row>
    <row r="7">
      <c r="A7" t="inlineStr">
        <is>
          <t>id</t>
        </is>
      </c>
      <c r="B7" t="inlineStr">
        <is>
          <t>nome</t>
        </is>
      </c>
      <c r="C7" t="inlineStr">
        <is>
          <t>budget</t>
        </is>
      </c>
      <c r="D7" t="inlineStr">
        <is>
          <t>gasto_jan</t>
        </is>
      </c>
    </row>
    <row r="8">
      <c r="A8" t="n">
        <v>1</v>
      </c>
      <c r="B8" t="inlineStr">
        <is>
          <t>alimentacao</t>
        </is>
      </c>
      <c r="C8" t="n">
        <v>4000</v>
      </c>
      <c r="D8" t="n">
        <v>0</v>
      </c>
    </row>
    <row r="9">
      <c r="A9" t="n">
        <v>2</v>
      </c>
      <c r="B9" t="inlineStr">
        <is>
          <t>transporte</t>
        </is>
      </c>
      <c r="C9" t="n">
        <v>1000</v>
      </c>
      <c r="D9" t="n">
        <v>2110.74</v>
      </c>
    </row>
    <row r="10">
      <c r="A10" t="n">
        <v>3</v>
      </c>
      <c r="B10" t="inlineStr">
        <is>
          <t>saude</t>
        </is>
      </c>
      <c r="C10" t="n">
        <v>1000</v>
      </c>
      <c r="D10" t="n">
        <v>1730.24</v>
      </c>
    </row>
    <row r="11">
      <c r="A11" t="n">
        <v>4</v>
      </c>
      <c r="B11" t="inlineStr">
        <is>
          <t>assinaturas</t>
        </is>
      </c>
      <c r="C11" t="n">
        <v>3000</v>
      </c>
      <c r="D11" t="n">
        <v>0</v>
      </c>
    </row>
    <row r="12">
      <c r="A12" t="n">
        <v>5</v>
      </c>
      <c r="B12" t="inlineStr">
        <is>
          <t>compras</t>
        </is>
      </c>
      <c r="C12" t="n">
        <v>3000</v>
      </c>
      <c r="D12" t="n">
        <v>4669.66</v>
      </c>
    </row>
    <row r="13">
      <c r="A13" t="n">
        <v>6</v>
      </c>
      <c r="B13" t="inlineStr">
        <is>
          <t>lazer</t>
        </is>
      </c>
      <c r="C13" t="n">
        <v>1500</v>
      </c>
      <c r="D13" t="n">
        <v>754.9400000000001</v>
      </c>
    </row>
    <row r="14">
      <c r="A14" t="n">
        <v>7</v>
      </c>
      <c r="B14" t="inlineStr">
        <is>
          <t>educacao</t>
        </is>
      </c>
      <c r="C14" t="n">
        <v>500</v>
      </c>
      <c r="D14" t="n">
        <v>0</v>
      </c>
    </row>
    <row r="15">
      <c r="A15" t="n">
        <v>8</v>
      </c>
      <c r="B15" t="inlineStr">
        <is>
          <t>casa</t>
        </is>
      </c>
      <c r="C15" t="n">
        <v>2000</v>
      </c>
      <c r="D15" t="n">
        <v>0</v>
      </c>
    </row>
    <row r="16">
      <c r="A16" t="n">
        <v>9</v>
      </c>
      <c r="B16" t="inlineStr">
        <is>
          <t>taxas</t>
        </is>
      </c>
      <c r="C16" t="n">
        <v>500</v>
      </c>
      <c r="D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2025-12-28T22:35:41Z</dcterms:created>
  <dcterms:modified xsi:type="dcterms:W3CDTF">2025-12-31T14:09:01Z</dcterms:modified>
</cp:coreProperties>
</file>